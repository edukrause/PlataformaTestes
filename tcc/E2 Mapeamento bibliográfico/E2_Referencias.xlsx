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ias" sheetId="1" state="visible" r:id="rId3"/>
    <sheet name="Resumo" sheetId="2" state="visible" r:id="rId4"/>
  </sheets>
  <definedNames>
    <definedName function="false" hidden="true" localSheetId="0" name="_xlnm._FilterDatabase" vbProcedure="false">Referencias!$A$1:$J$41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<sst xmlns="http://schemas.openxmlformats.org/spreadsheetml/2006/main" count="355" uniqueCount="245">
  <si>
    <t xml:space="preserve">#</t>
  </si>
  <si>
    <t xml:space="preserve">Autor</t>
  </si>
  <si>
    <t xml:space="preserve">Ano</t>
  </si>
  <si>
    <t xml:space="preserve">Título</t>
  </si>
  <si>
    <t xml:space="preserve">Veículo</t>
  </si>
  <si>
    <t xml:space="preserve">Link / DOI</t>
  </si>
  <si>
    <t xml:space="preserve">Tipo</t>
  </si>
  <si>
    <t xml:space="preserve">Relevância</t>
  </si>
  <si>
    <t xml:space="preserve">O que essa fonte me dá</t>
  </si>
  <si>
    <t xml:space="preserve">Eixo</t>
  </si>
  <si>
    <t xml:space="preserve">SOLIS, C.; WANG, X.</t>
  </si>
  <si>
    <t xml:space="preserve">A Study of the Characteristics of Behaviour Driven Development</t>
  </si>
  <si>
    <t xml:space="preserve">EUROMICRO Conference on Software Engineering and Advanced Applications (SEAA), p. 383-387</t>
  </si>
  <si>
    <t xml:space="preserve">10.1109/SEAA.2011.76</t>
  </si>
  <si>
    <t xml:space="preserve">Artigo de evento</t>
  </si>
  <si>
    <t xml:space="preserve">Media</t>
  </si>
  <si>
    <t xml:space="preserve">Caracterizacao conceitual do BDD: o que a abordagem e, de onde vem e quais praticas a compoem. Usado para definir BDD na fundamentacao.</t>
  </si>
  <si>
    <t xml:space="preserve">A - BDD e especificação de comportamento</t>
  </si>
  <si>
    <t xml:space="preserve">WYNNE, M.; HELLESOY, A.</t>
  </si>
  <si>
    <t xml:space="preserve">The Cucumber Book: Behaviour-Driven Development for Testers and Developers</t>
  </si>
  <si>
    <t xml:space="preserve">Pragmatic Bookshelf, Raleigh</t>
  </si>
  <si>
    <t xml:space="preserve">ISBN 978-1-93435-680-7</t>
  </si>
  <si>
    <t xml:space="preserve">Livro tecnico</t>
  </si>
  <si>
    <t xml:space="preserve">Alta</t>
  </si>
  <si>
    <t xml:space="preserve">Referencia canonica da notacao Gherkin. Fonte da estrutura Dado/Quando/Entao que a plataforma gera.</t>
  </si>
  <si>
    <t xml:space="preserve">FAROOQ, M. S. et al.</t>
  </si>
  <si>
    <t xml:space="preserve">Behavior Driven Development: A Systematic Literature Review</t>
  </si>
  <si>
    <t xml:space="preserve">IEEE Access, v. 11, p. 88008-88024</t>
  </si>
  <si>
    <t xml:space="preserve">10.1109/ACCESS.2023.3302356</t>
  </si>
  <si>
    <t xml:space="preserve">Artigo de periodico</t>
  </si>
  <si>
    <t xml:space="preserve">Revisao sistematica que aponta o esforco de elaboracao e manutencao dos cenarios como a principal dificuldade do BDD. Sustenta o problema de pesquisa.</t>
  </si>
  <si>
    <t xml:space="preserve">ARREDONDO-REYES, V. M. et al.</t>
  </si>
  <si>
    <t xml:space="preserve">Benefits and Challenges of the Behavior-Driven Development: A Systematic Literature Review</t>
  </si>
  <si>
    <t xml:space="preserve">Int. Conference in Software Engineering Research and Innovation (CONISOFT), p. 45-54</t>
  </si>
  <si>
    <t xml:space="preserve">10.1109/CONISOFT58849.2023.00016</t>
  </si>
  <si>
    <t xml:space="preserve">Segunda revisao sobre BDD; corrobora o achado sobre custo de elaboracao dos cenarios.</t>
  </si>
  <si>
    <t xml:space="preserve">ISO/IEC/IEEE</t>
  </si>
  <si>
    <t xml:space="preserve">ISO/IEC/IEEE 29119-2:2021 - Software and systems engineering - Software testing - Part 2: Test processes</t>
  </si>
  <si>
    <t xml:space="preserve">ISO, Genebra, 2. ed., 64 p.</t>
  </si>
  <si>
    <t xml:space="preserve">https://www.iso.org/standard/79428.html</t>
  </si>
  <si>
    <t xml:space="preserve">Norma tecnica</t>
  </si>
  <si>
    <t xml:space="preserve">Vocabulario normativo de processo de teste (base de teste, caso de teste, dados de teste). Usado para alinhar a terminologia do trabalho ao padrao internacional.</t>
  </si>
  <si>
    <t xml:space="preserve">CUCUMBER</t>
  </si>
  <si>
    <t xml:space="preserve">Gherkin Reference</t>
  </si>
  <si>
    <t xml:space="preserve">Documentacao oficial do Cucumber</t>
  </si>
  <si>
    <t xml:space="preserve">https://cucumber.io/docs/gherkin/reference/</t>
  </si>
  <si>
    <t xml:space="preserve">Documentacao</t>
  </si>
  <si>
    <t xml:space="preserve">Especificacao da sintaxe Gherkin: palavras-chave, estrutura de Feature, Scenario e Scenario Outline. Referencia normativa da saida do modulo de geracao.</t>
  </si>
  <si>
    <t xml:space="preserve">WANG, J. et al.</t>
  </si>
  <si>
    <t xml:space="preserve">Software Testing With Large Language Models: Survey, Landscape, and Vision</t>
  </si>
  <si>
    <t xml:space="preserve">IEEE Transactions on Software Engineering, v. 50, n. 4, p. 911-936</t>
  </si>
  <si>
    <t xml:space="preserve">10.1109/TSE.2024.3368208</t>
  </si>
  <si>
    <t xml:space="preserve">Panorama do uso de LLMs em teste de software. Registra a ausencia de pesquisa sobre teste de aceitacao, que e onde o trabalho se posiciona.</t>
  </si>
  <si>
    <t xml:space="preserve">B - LLM na geração de artefatos de teste</t>
  </si>
  <si>
    <t xml:space="preserve">KARPURAPU, S. et al.</t>
  </si>
  <si>
    <t xml:space="preserve">Comprehensive Evaluation and Insights Into the Use of Large Language Models in the Automation of Behavior-Driven Development Acceptance Test Formulation</t>
  </si>
  <si>
    <t xml:space="preserve">IEEE Access, v. 12, p. 58715-58730</t>
  </si>
  <si>
    <t xml:space="preserve">10.1109/ACCESS.2024.3391815</t>
  </si>
  <si>
    <t xml:space="preserve">Avaliacao sistematica de varios LLMs na formulacao de testes de aceitacao BDD. Linha de base de comparacao para o modulo 1.</t>
  </si>
  <si>
    <t xml:space="preserve">FERNANDES, H. et al.</t>
  </si>
  <si>
    <t xml:space="preserve">A Comparative Study of LLMs for Gherkin Generation</t>
  </si>
  <si>
    <t xml:space="preserve">Simposio Brasileiro de Engenharia de Software (SBES), p. 171-181</t>
  </si>
  <si>
    <t xml:space="preserve">10.5753/sbes.2025.9888</t>
  </si>
  <si>
    <t xml:space="preserve">Estudo brasileiro que mede acuracia e estabilidade de LLMs convertendo descricoes livres em Gherkin. Evidencia a variabilidade entre modelos que justifica a validacao humana.</t>
  </si>
  <si>
    <t xml:space="preserve">PADURARU, C.; ZAVELCA, M.; STEFANESCU, A.</t>
  </si>
  <si>
    <t xml:space="preserve">Agentic AI for Behavior-Driven Development Testing Using Large Language Models</t>
  </si>
  <si>
    <t xml:space="preserve">Int. Conference on Agents and Artificial Intelligence (ICAART), v. 2, p. 805-815</t>
  </si>
  <si>
    <t xml:space="preserve">10.5220/0013374400003890</t>
  </si>
  <si>
    <t xml:space="preserve">Agentes autonomos com humano no ciclo para criacao de testes BDD. Trabalho relacionado direto; nao contempla apuracao de valores esperados.</t>
  </si>
  <si>
    <t xml:space="preserve">FONSECA, P. L.; LIMA, B.; FARIA, J. P.</t>
  </si>
  <si>
    <t xml:space="preserve">Streamlining Acceptance Test Generation for Mobile Applications Through Large Language Models: An Industrial Case Study (AToMIC)</t>
  </si>
  <si>
    <t xml:space="preserve">Pre-print arXiv (ha versao no IEEE Xplore, doc. 11334650)</t>
  </si>
  <si>
    <t xml:space="preserve">10.48550/arXiv.2510.18861</t>
  </si>
  <si>
    <t xml:space="preserve">Artigo (pre-print)</t>
  </si>
  <si>
    <t xml:space="preserve">Trabalho relacionado mais proximo: gera Gherkin a partir de tarefas do Jira e de alteracoes de codigo, avaliado na BMW. Delimita o que ja existe e onde esta a contribuicao do meu trabalho.</t>
  </si>
  <si>
    <t xml:space="preserve">FERREIRA, M. et al.</t>
  </si>
  <si>
    <t xml:space="preserve">Acceptance Test Generation with Large Language Models: An Industrial Case Study</t>
  </si>
  <si>
    <t xml:space="preserve">Pre-print arXiv</t>
  </si>
  <si>
    <t xml:space="preserve">10.48550/arXiv.2504.07244</t>
  </si>
  <si>
    <t xml:space="preserve">Pipeline de dois passos (user story para Gherkin, Gherkin para Cypress) em ambiente industrial. Referencia de taxa de aceitacao em uso real.</t>
  </si>
  <si>
    <t xml:space="preserve">ARANDA III, M. et al.</t>
  </si>
  <si>
    <t xml:space="preserve">Image2Test: Using ChatGPT to Build Manual Tests from Screenshots</t>
  </si>
  <si>
    <t xml:space="preserve">Simposio Brasileiro de Testes de Software Sistematico e Automatizado (SAST), p. 94-103</t>
  </si>
  <si>
    <t xml:space="preserve">10.5753/sast.2025.14358</t>
  </si>
  <si>
    <t xml:space="preserve">Producao nacional. Interessa pelo metodo de avaliacao: survey com profissionais mais medida de similaridade textual contra testes escritos por humanos.</t>
  </si>
  <si>
    <t xml:space="preserve">OLIVEIRA, F.; TIAGO, L.; CHAVES, L.</t>
  </si>
  <si>
    <t xml:space="preserve">The Influence of Using LLMs on the Activities of a Software Testing Team: An Industry Case</t>
  </si>
  <si>
    <t xml:space="preserve">Simposio Brasileiro de Testes de Software Sistematico e Automatizado (SAST), p. 144-146</t>
  </si>
  <si>
    <t xml:space="preserve">10.5753/sast.2025.13592</t>
  </si>
  <si>
    <t xml:space="preserve">Estudo com 14 profissionais mostrando ganho significativo de produtividade apos adocao de LLM na equipe de teste. Sustenta a justificativa do trabalho com dado publicado.</t>
  </si>
  <si>
    <t xml:space="preserve">HOU, X. et al.</t>
  </si>
  <si>
    <t xml:space="preserve">Large Language Models for Software Engineering: A Systematic Literature Review</t>
  </si>
  <si>
    <t xml:space="preserve">ACM Transactions on Software Engineering and Methodology, v. 33, n. 8, art. 220</t>
  </si>
  <si>
    <t xml:space="preserve">10.1145/3695988</t>
  </si>
  <si>
    <t xml:space="preserve">Revisao de 395 estudos sobre LLM em engenharia de software. Usada para enquadrar o campo e situar a tarefa de geracao de teste dentro dele.</t>
  </si>
  <si>
    <t xml:space="preserve">SCHAFER, M. et al.</t>
  </si>
  <si>
    <t xml:space="preserve">An Empirical Evaluation of Using Large Language Models for Automated Unit Test Generation</t>
  </si>
  <si>
    <t xml:space="preserve">IEEE Transactions on Software Engineering, v. 50, n. 1, p. 85-105</t>
  </si>
  <si>
    <t xml:space="preserve">10.1109/TSE.2023.3334955</t>
  </si>
  <si>
    <t xml:space="preserve">Baixa</t>
  </si>
  <si>
    <t xml:space="preserve">Trata de teste unitario de codigo, dominio diferente do meu. Mantida apenas como referencia de desenho de avaliacao empirica em larga escala.</t>
  </si>
  <si>
    <t xml:space="preserve">OUEDRAOGO, W. C. et al.</t>
  </si>
  <si>
    <t xml:space="preserve">LLMs and Prompting for Unit Test Generation: A Large-Scale Evaluation</t>
  </si>
  <si>
    <t xml:space="preserve">Int. Conference on Automated Software Engineering (ASE), p. 2464-2465</t>
  </si>
  <si>
    <t xml:space="preserve">10.1145/3691620.3695330</t>
  </si>
  <si>
    <t xml:space="preserve">Artigo de evento (resumo)</t>
  </si>
  <si>
    <t xml:space="preserve">Efeito da formulacao do prompt sobre a qualidade da saida. Resumo de duas paginas; valor limitado, mantida como apoio.</t>
  </si>
  <si>
    <t xml:space="preserve">YU, T. et al.</t>
  </si>
  <si>
    <t xml:space="preserve">Spider: A Large-Scale Human-Labeled Dataset for Complex and Cross-Domain Semantic Parsing and Text-to-SQL Task</t>
  </si>
  <si>
    <t xml:space="preserve">Conference on Empirical Methods in Natural Language Processing (EMNLP), p. 3911-3921</t>
  </si>
  <si>
    <t xml:space="preserve">10.18653/v1/D18-1425</t>
  </si>
  <si>
    <t xml:space="preserve">Marco fundacional do text-to-SQL multi-tabela. Fora da janela de 5 anos, mantida por ser o ponto de partida da linha de pesquisa.</t>
  </si>
  <si>
    <t xml:space="preserve">C - Text-to-SQL e verificação por execução</t>
  </si>
  <si>
    <t xml:space="preserve">LI, J. et al.</t>
  </si>
  <si>
    <t xml:space="preserve">Can LLM Already Serve as a Database Interface? A BIg Bench for Large-Scale Database Grounded Text-to-SQLs (BIRD)</t>
  </si>
  <si>
    <t xml:space="preserve">Advances in Neural Information Processing Systems (NeurIPS), Datasets and Benchmarks Track</t>
  </si>
  <si>
    <t xml:space="preserve">https://proceedings.neurips.cc/</t>
  </si>
  <si>
    <t xml:space="preserve">Mostra a queda de desempenho dos modelos quando o esquema deixa de ser reduzido. Primeira evidencia do problema que o modulo 2 ataca.</t>
  </si>
  <si>
    <t xml:space="preserve">LEI, F. et al.</t>
  </si>
  <si>
    <t xml:space="preserve">Spider 2.0: Evaluating Language Models on Real-World Enterprise Text-to-SQL Workflows</t>
  </si>
  <si>
    <t xml:space="preserve">International Conference on Learning Representations (ICLR), apresentacao oral</t>
  </si>
  <si>
    <t xml:space="preserve">10.48550/arXiv.2411.07763</t>
  </si>
  <si>
    <t xml:space="preserve">Evidencia central da justificativa: 21,3% de sucesso em bases corporativas reais contra 91,2% no Spider 1.0. Demonstra que aceitar a consulta gerada sem verificacao e inviavel.</t>
  </si>
  <si>
    <t xml:space="preserve">POURREZA, M.; RAFIEI, D.</t>
  </si>
  <si>
    <t xml:space="preserve">DIN-SQL: Decomposed In-Context Learning of Text-to-SQL with Self-Correction</t>
  </si>
  <si>
    <t xml:space="preserve">Advances in Neural Information Processing Systems (NeurIPS), v. 36, p. 36339-36348</t>
  </si>
  <si>
    <t xml:space="preserve">https://proceedings.neurips.cc/paper_files/paper/2023/hash/72223cc66f63ca1aa59edaec1b3670e6-Abstract-Conference.html</t>
  </si>
  <si>
    <t xml:space="preserve">Decomposicao da geracao em subtarefas e autocorrecao a partir do erro retornado. Sustenta a etapa de correcao da consulta no modulo 2.</t>
  </si>
  <si>
    <t xml:space="preserve">GAO, D. et al.</t>
  </si>
  <si>
    <t xml:space="preserve">Text-to-SQL Empowered by Large Language Models: A Benchmark Evaluation (DAIL-SQL)</t>
  </si>
  <si>
    <t xml:space="preserve">Proceedings of the VLDB Endowment, v. 17, n. 5, p. 1132-1145</t>
  </si>
  <si>
    <t xml:space="preserve">10.14778/3641204.3641221</t>
  </si>
  <si>
    <t xml:space="preserve">Compara formas de representar o esquema no prompt e de selecionar exemplos. Sustenta a decisao de recuperar apenas o subconjunto de tabelas pertinente.</t>
  </si>
  <si>
    <t xml:space="preserve">ZHONG, R.; YU, T.; KLEIN, D.</t>
  </si>
  <si>
    <t xml:space="preserve">Semantic Evaluation for Text-to-SQL with Distilled Test Suites</t>
  </si>
  <si>
    <t xml:space="preserve">Conference on Empirical Methods in Natural Language Processing (EMNLP), p. 396-411</t>
  </si>
  <si>
    <t xml:space="preserve">10.18653/v1/2020.emnlp-main.29</t>
  </si>
  <si>
    <t xml:space="preserve">Define a acuracia por execucao e mostra que comparar o texto do SQL gera falsos negativos. Base metodologica da comparacao por conjunto de resultado no consenso.</t>
  </si>
  <si>
    <t xml:space="preserve">LEWIS, P. et al.</t>
  </si>
  <si>
    <t xml:space="preserve">Retrieval-Augmented Generation for Knowledge-Intensive NLP Tasks</t>
  </si>
  <si>
    <t xml:space="preserve">Advances in Neural Information Processing Systems (NeurIPS), v. 33, p. 9459-9474</t>
  </si>
  <si>
    <t xml:space="preserve">https://proceedings.neurips.cc/paper/2020/hash/6b493230205f780e1bc26945df7481e5-Abstract.html</t>
  </si>
  <si>
    <t xml:space="preserve">Ancoragem da geracao em fonte externa de conhecimento. Fundamenta a recuperacao de contexto a partir do Jira, do Confluence e do catalogo do banco.</t>
  </si>
  <si>
    <t xml:space="preserve">ORACLE</t>
  </si>
  <si>
    <t xml:space="preserve">MySQL 8.4 Reference Manual: INFORMATION_SCHEMA Tables</t>
  </si>
  <si>
    <t xml:space="preserve">Documentacao oficial do MySQL</t>
  </si>
  <si>
    <t xml:space="preserve">https://dev.mysql.com/doc/refman/8.4/en/information-schema.html</t>
  </si>
  <si>
    <t xml:space="preserve">Estrutura das visoes de catalogo de onde a plataforma extrai tabelas, colunas, tipos, chaves e relacionamentos.</t>
  </si>
  <si>
    <t xml:space="preserve">WANG, X. et al.</t>
  </si>
  <si>
    <t xml:space="preserve">Self-Consistency Improves Chain of Thought Reasoning in Language Models</t>
  </si>
  <si>
    <t xml:space="preserve">International Conference on Learning Representations (ICLR)</t>
  </si>
  <si>
    <t xml:space="preserve">https://openreview.net/forum?id=1PL1NIMMrw</t>
  </si>
  <si>
    <t xml:space="preserve">Ganho de acuracia ao adotar a saida mais frequente entre varias amostragens. Base teorica do consenso, com a ressalva de que amostra um unico modelo.</t>
  </si>
  <si>
    <t xml:space="preserve">D - Confiabilidade, alucinação e consenso</t>
  </si>
  <si>
    <t xml:space="preserve">DU, Y. et al.</t>
  </si>
  <si>
    <t xml:space="preserve">Improving Factuality and Reasoning in Language Models through Multiagent Debate</t>
  </si>
  <si>
    <t xml:space="preserve">International Conference on Machine Learning (ICML), PMLR v. 235, p. 11733-11763</t>
  </si>
  <si>
    <t xml:space="preserve">https://proceedings.mlr.press/v235/du24e.html</t>
  </si>
  <si>
    <t xml:space="preserve">Confrontacao entre instancias distintas reduz respostas falaciosas e alucinacoes. Sustenta o uso de modelos de origens diferentes em vez de repeticao do mesmo modelo.</t>
  </si>
  <si>
    <t xml:space="preserve">HUANG, L. et al.</t>
  </si>
  <si>
    <t xml:space="preserve">A Survey on Hallucination in Large Language Models: Principles, Taxonomy, Challenges, and Open Questions</t>
  </si>
  <si>
    <t xml:space="preserve">ACM Transactions on Information Systems, v. 43, n. 2, art. 42, p. 1-55</t>
  </si>
  <si>
    <t xml:space="preserve">10.1145/3703155</t>
  </si>
  <si>
    <t xml:space="preserve">Taxonomia de alucinacao e catalogo de estrategias de mitigacao, entre elas a ancoragem em fonte externa. Fundamenta o banco como oraculo.</t>
  </si>
  <si>
    <t xml:space="preserve">SALLOU, J.; DURIEUX, T.; PANICHELLA, A.</t>
  </si>
  <si>
    <t xml:space="preserve">Breaking the Silence: the Threats of Using LLMs in Software Engineering</t>
  </si>
  <si>
    <t xml:space="preserve">Int. Conference on Software Engineering: New Ideas and Emerging Results (ICSE-NIER), p. 102-106</t>
  </si>
  <si>
    <t xml:space="preserve">10.1145/3639476.3639764</t>
  </si>
  <si>
    <t xml:space="preserve">Risco de conteudo plausivel porem incorreto especificamente em engenharia de software. Justifica a validacao humana obrigatoria.</t>
  </si>
  <si>
    <t xml:space="preserve">BARR, E. T. et al.</t>
  </si>
  <si>
    <t xml:space="preserve">The Oracle Problem in Software Testing: A Survey</t>
  </si>
  <si>
    <t xml:space="preserve">IEEE Transactions on Software Engineering, v. 41, n. 5, p. 507-525</t>
  </si>
  <si>
    <t xml:space="preserve">10.1109/TSE.2014.2372785</t>
  </si>
  <si>
    <t xml:space="preserve">Formaliza o problema do oraculo de teste e define oraculo solido, completo e ground truth. Da o vocabulario para descrever o que a plataforma constroi. Fora da janela de 5 anos por ser a survey seminal da area.</t>
  </si>
  <si>
    <t xml:space="preserve">OLIVEIRA, G.; MARCZAK, S.; MORALLES, C.</t>
  </si>
  <si>
    <t xml:space="preserve">How to Evaluate BDD Scenarios' Quality?</t>
  </si>
  <si>
    <t xml:space="preserve">Simposio Brasileiro de Engenharia de Software (SBES), p. 481-490</t>
  </si>
  <si>
    <t xml:space="preserve">10.1145/3350768.3351301</t>
  </si>
  <si>
    <t xml:space="preserve">Define quatro atributos de qualidade de cenario BDD: clareza, testabilidade, concisao e valor. Sera o instrumento de julgamento dos cenarios gerados no plano de validacao.</t>
  </si>
  <si>
    <t xml:space="preserve">E - Qualidade de teste em linguagem natural</t>
  </si>
  <si>
    <t xml:space="preserve">SOARES, E. et al.</t>
  </si>
  <si>
    <t xml:space="preserve">Manual Tests Do Smell! Cataloging and Identifying Natural Language Test Smells</t>
  </si>
  <si>
    <t xml:space="preserve">Int. Symposium on Empirical Software Engineering and Measurement (ESEM), p. 1-11</t>
  </si>
  <si>
    <t xml:space="preserve">https://ieeexplore.ieee.org/document/10304847</t>
  </si>
  <si>
    <t xml:space="preserve">Catalogo de defeitos recorrentes em testes manuais escritos em linguagem natural. Base dos criterios de rejeicao de um cenario gerado.</t>
  </si>
  <si>
    <t xml:space="preserve">ARANDA, M. et al.</t>
  </si>
  <si>
    <t xml:space="preserve">A Catalog of Transformations to Remove Smells From Natural Language Tests</t>
  </si>
  <si>
    <t xml:space="preserve">Int. Conference on Evaluation and Assessment in Software Engineering (EASE), p. 7-16</t>
  </si>
  <si>
    <t xml:space="preserve">10.1145/3661167.3661225</t>
  </si>
  <si>
    <t xml:space="preserve">Transformacoes corretivas aplicaveis aos defeitos catalogados. Apoia a categoria de aceite com alteracao menor na avaliacao.</t>
  </si>
  <si>
    <t xml:space="preserve">PEIXOTO, M. et al.</t>
  </si>
  <si>
    <t xml:space="preserve">On the Effectiveness of LLMs for Manual Test Verifications</t>
  </si>
  <si>
    <t xml:space="preserve">Int. Workshop on Deep Learning for Testing and Testing for Deep Learning (DeepTest), p. 45-52</t>
  </si>
  <si>
    <t xml:space="preserve">10.1109/DeepTest66595.2025.00012</t>
  </si>
  <si>
    <t xml:space="preserve">Producao nacional sobre uso de LLM na verificacao de testes manuais. Referencia de comparacao para a etapa de conferencia pelo analista.</t>
  </si>
  <si>
    <t xml:space="preserve">BRANDAO, D. et al.</t>
  </si>
  <si>
    <t xml:space="preserve">Real-Time Feedback for BDD Test Scenarios Using AI-Based Classification</t>
  </si>
  <si>
    <t xml:space="preserve">Simposio Brasileiro de Testes de Software Sistematico e Automatizado (SAST), p. 131-137</t>
  </si>
  <si>
    <t xml:space="preserve">10.5753/sast.2025.14469</t>
  </si>
  <si>
    <t xml:space="preserve">Validacao estrutural e semantica de passos Gherkin por NLP e aprendizado de maquina. Abordagem complementar: valida cenarios, nao os gera.</t>
  </si>
  <si>
    <t xml:space="preserve">LUCAS, K. et al.</t>
  </si>
  <si>
    <t xml:space="preserve">Investigating the Performance of Small Language Models in Detecting Test Smells in Manual Test Cases</t>
  </si>
  <si>
    <t xml:space="preserve">Simposio Brasileiro de Engenharia de Software (SBES), trilha IIER</t>
  </si>
  <si>
    <t xml:space="preserve">https://sol.sbc.org.br/index.php/sbes/</t>
  </si>
  <si>
    <t xml:space="preserve">Deteccao automatica de defeitos em testes manuais com modelos pequenos. Tangencial ao meu problema; mantida como apoio da producao nacional.</t>
  </si>
  <si>
    <t xml:space="preserve">HEVNER, A. R. et al.</t>
  </si>
  <si>
    <t xml:space="preserve">Design Science in Information Systems Research</t>
  </si>
  <si>
    <t xml:space="preserve">MIS Quarterly, v. 28, n. 1, p. 75-105</t>
  </si>
  <si>
    <t xml:space="preserve">10.2307/25148625</t>
  </si>
  <si>
    <t xml:space="preserve">Fundamento da Design Science Research, metodologia adotada no trabalho. Fora da janela de 5 anos por ser o artigo seminal.</t>
  </si>
  <si>
    <t xml:space="preserve">F - Metodologia de pesquisa</t>
  </si>
  <si>
    <t xml:space="preserve">PEFFERS, K. et al.</t>
  </si>
  <si>
    <t xml:space="preserve">A Design Science Research Methodology for Information Systems Research</t>
  </si>
  <si>
    <t xml:space="preserve">Journal of Management Information Systems, v. 24, n. 3, p. 45-77</t>
  </si>
  <si>
    <t xml:space="preserve">10.2753/MIS0742-1222240302</t>
  </si>
  <si>
    <t xml:space="preserve">Modelo de processo em seis etapas que operacionaliza a DSR. Define as fases do trabalho. Fora da janela de 5 anos, complementar ao anterior.</t>
  </si>
  <si>
    <t xml:space="preserve">GARG, A.; SHARMA, D.</t>
  </si>
  <si>
    <t xml:space="preserve">Generative AI for Software Test Modelling with a focus on ERP Software</t>
  </si>
  <si>
    <t xml:space="preserve">Int. Conference on Advances in Computation, Communication and Information Technology (ICAICCIT), p. 187-193</t>
  </si>
  <si>
    <t xml:space="preserve">10.1109/ICAICCIT60255.2023.10466102</t>
  </si>
  <si>
    <t xml:space="preserve">Unico trabalho localizado que aplica IA generativa a modelagem de teste especificamente em ERP, considerando a complexidade propria desses sistemas. Sustenta o recorte de dominio da proposta.</t>
  </si>
  <si>
    <t xml:space="preserve">MENDOZA, I. et al.</t>
  </si>
  <si>
    <t xml:space="preserve">Comparative Analysis of Large Language Model Tools for Automated Test Data Generation from BDD</t>
  </si>
  <si>
    <t xml:space="preserve">Simposio Brasileiro de Engenharia de Software (SBES), p. 280-290</t>
  </si>
  <si>
    <t xml:space="preserve">https://sol.sbc.org.br/index.php/sbes/article/view/30369</t>
  </si>
  <si>
    <t xml:space="preserve">Producao nacional que compara LLMs na geracao de dados de teste a partir de cenarios BDD. Delimita por contraste o escopo do meu trabalho: eles geram massa sintetica, eu apuro o valor esperado sobre a massa que ja existe no banco.</t>
  </si>
  <si>
    <t xml:space="preserve">Conferência dos critérios de aceite da E2</t>
  </si>
  <si>
    <t xml:space="preserve">Critério</t>
  </si>
  <si>
    <t xml:space="preserve">Exigido</t>
  </si>
  <si>
    <t xml:space="preserve">Apurado</t>
  </si>
  <si>
    <t xml:space="preserve">Total de referências</t>
  </si>
  <si>
    <t xml:space="preserve">Publicadas nos últimos 5 anos (2021+)</t>
  </si>
  <si>
    <t xml:space="preserve">Relevância alta</t>
  </si>
  <si>
    <t xml:space="preserve">Relevância média</t>
  </si>
  <si>
    <t xml:space="preserve">Relevância baixa</t>
  </si>
  <si>
    <t xml:space="preserve">Artigos (periódico e evento)</t>
  </si>
  <si>
    <t xml:space="preserve">Livros técnicos</t>
  </si>
  <si>
    <t xml:space="preserve">Normas técnicas</t>
  </si>
  <si>
    <t xml:space="preserve">Documentação</t>
  </si>
  <si>
    <t xml:space="preserve">Eixos temáticos</t>
  </si>
  <si>
    <t xml:space="preserve">Observações</t>
  </si>
  <si>
    <t xml:space="preserve">- Relevância: Alta = sustenta diretamente a fundamentação ou o plano de validação; Média = contexto e apoio; Baixa = tangencial, mantida como referência secundária.</t>
  </si>
  <si>
    <t xml:space="preserve">- Barr et al. (2015), Hevner et al. (2004), Peffers et al. (2007), Yu et al. (2018) e Wynne e Hellesoy (2012) estão fora da janela de 5 anos por serem obras seminais ou de referência conceitual.</t>
  </si>
  <si>
    <t xml:space="preserve">- Fonseca et al. (2025) e Ferreira et al. (2025) são pré-prints; há versão publicada do primeiro no IEEE Xplore (doc. 11334650), com veículo ainda a confirmar.</t>
  </si>
  <si>
    <t xml:space="preserve">- Veículo, ano e paginação de cada referência foram conferidos na página do editor. Os dois endereços de documentação foram abertos e conferidos em 09/09/2026.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</si>
</sst>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BFBFB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62"/>
    <col collapsed="false" customWidth="true" hidden="false" outlineLevel="0" max="10" min="10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1</v>
      </c>
      <c r="B2" s="3" t="s">
        <v>10</v>
      </c>
      <c r="C2" s="2" t="n">
        <v>2011</v>
      </c>
      <c r="D2" s="3" t="s">
        <v>11</v>
      </c>
      <c r="E2" s="3" t="s">
        <v>12</v>
      </c>
      <c r="F2" s="3" t="s">
        <v>13</v>
      </c>
      <c r="G2" s="4" t="s">
        <v>14</v>
      </c>
      <c r="H2" s="5" t="s">
        <v>15</v>
      </c>
      <c r="I2" s="3" t="s">
        <v>16</v>
      </c>
      <c r="J2" s="3" t="s">
        <v>17</v>
      </c>
    </row>
    <row r="3" customFormat="false" ht="23.85" hidden="false" customHeight="false" outlineLevel="0" collapsed="false">
      <c r="A3" s="2" t="n">
        <v>2</v>
      </c>
      <c r="B3" s="3" t="s">
        <v>18</v>
      </c>
      <c r="C3" s="2" t="n">
        <v>2012</v>
      </c>
      <c r="D3" s="3" t="s">
        <v>19</v>
      </c>
      <c r="E3" s="3" t="s">
        <v>20</v>
      </c>
      <c r="F3" s="3" t="s">
        <v>21</v>
      </c>
      <c r="G3" s="4" t="s">
        <v>22</v>
      </c>
      <c r="H3" s="6" t="s">
        <v>23</v>
      </c>
      <c r="I3" s="3" t="s">
        <v>24</v>
      </c>
      <c r="J3" s="3" t="s">
        <v>17</v>
      </c>
    </row>
    <row r="4" customFormat="false" ht="35.05" hidden="false" customHeight="false" outlineLevel="0" collapsed="false">
      <c r="A4" s="2" t="n">
        <v>3</v>
      </c>
      <c r="B4" s="3" t="s">
        <v>25</v>
      </c>
      <c r="C4" s="2" t="n">
        <v>2023</v>
      </c>
      <c r="D4" s="3" t="s">
        <v>26</v>
      </c>
      <c r="E4" s="3" t="s">
        <v>27</v>
      </c>
      <c r="F4" s="3" t="s">
        <v>28</v>
      </c>
      <c r="G4" s="4" t="s">
        <v>29</v>
      </c>
      <c r="H4" s="6" t="s">
        <v>23</v>
      </c>
      <c r="I4" s="3" t="s">
        <v>30</v>
      </c>
      <c r="J4" s="3" t="s">
        <v>17</v>
      </c>
    </row>
    <row r="5" customFormat="false" ht="23.85" hidden="false" customHeight="false" outlineLevel="0" collapsed="false">
      <c r="A5" s="2" t="n">
        <v>4</v>
      </c>
      <c r="B5" s="3" t="s">
        <v>31</v>
      </c>
      <c r="C5" s="2" t="n">
        <v>2023</v>
      </c>
      <c r="D5" s="3" t="s">
        <v>32</v>
      </c>
      <c r="E5" s="3" t="s">
        <v>33</v>
      </c>
      <c r="F5" s="3" t="s">
        <v>34</v>
      </c>
      <c r="G5" s="4" t="s">
        <v>14</v>
      </c>
      <c r="H5" s="5" t="s">
        <v>15</v>
      </c>
      <c r="I5" s="3" t="s">
        <v>35</v>
      </c>
      <c r="J5" s="3" t="s">
        <v>17</v>
      </c>
    </row>
    <row r="6" customFormat="false" ht="35.05" hidden="false" customHeight="false" outlineLevel="0" collapsed="false">
      <c r="A6" s="2" t="n">
        <v>5</v>
      </c>
      <c r="B6" s="3" t="s">
        <v>36</v>
      </c>
      <c r="C6" s="2" t="n">
        <v>2021</v>
      </c>
      <c r="D6" s="3" t="s">
        <v>37</v>
      </c>
      <c r="E6" s="3" t="s">
        <v>38</v>
      </c>
      <c r="F6" s="3" t="s">
        <v>39</v>
      </c>
      <c r="G6" s="4" t="s">
        <v>40</v>
      </c>
      <c r="H6" s="5" t="s">
        <v>15</v>
      </c>
      <c r="I6" s="3" t="s">
        <v>41</v>
      </c>
      <c r="J6" s="3" t="s">
        <v>17</v>
      </c>
    </row>
    <row r="7" customFormat="false" ht="35.05" hidden="false" customHeight="false" outlineLevel="0" collapsed="false">
      <c r="A7" s="2" t="n">
        <v>6</v>
      </c>
      <c r="B7" s="3" t="s">
        <v>42</v>
      </c>
      <c r="C7" s="2" t="n">
        <v>2026</v>
      </c>
      <c r="D7" s="3" t="s">
        <v>43</v>
      </c>
      <c r="E7" s="3" t="s">
        <v>44</v>
      </c>
      <c r="F7" s="3" t="s">
        <v>45</v>
      </c>
      <c r="G7" s="4" t="s">
        <v>46</v>
      </c>
      <c r="H7" s="5" t="s">
        <v>15</v>
      </c>
      <c r="I7" s="3" t="s">
        <v>47</v>
      </c>
      <c r="J7" s="3" t="s">
        <v>17</v>
      </c>
    </row>
    <row r="8" customFormat="false" ht="23.85" hidden="false" customHeight="false" outlineLevel="0" collapsed="false">
      <c r="A8" s="2" t="n">
        <v>7</v>
      </c>
      <c r="B8" s="3" t="s">
        <v>48</v>
      </c>
      <c r="C8" s="2" t="n">
        <v>2024</v>
      </c>
      <c r="D8" s="3" t="s">
        <v>49</v>
      </c>
      <c r="E8" s="3" t="s">
        <v>50</v>
      </c>
      <c r="F8" s="3" t="s">
        <v>51</v>
      </c>
      <c r="G8" s="4" t="s">
        <v>29</v>
      </c>
      <c r="H8" s="6" t="s">
        <v>23</v>
      </c>
      <c r="I8" s="3" t="s">
        <v>52</v>
      </c>
      <c r="J8" s="3" t="s">
        <v>53</v>
      </c>
    </row>
    <row r="9" customFormat="false" ht="35.05" hidden="false" customHeight="false" outlineLevel="0" collapsed="false">
      <c r="A9" s="2" t="n">
        <v>8</v>
      </c>
      <c r="B9" s="3" t="s">
        <v>54</v>
      </c>
      <c r="C9" s="2" t="n">
        <v>2024</v>
      </c>
      <c r="D9" s="3" t="s">
        <v>55</v>
      </c>
      <c r="E9" s="3" t="s">
        <v>56</v>
      </c>
      <c r="F9" s="3" t="s">
        <v>57</v>
      </c>
      <c r="G9" s="4" t="s">
        <v>29</v>
      </c>
      <c r="H9" s="6" t="s">
        <v>23</v>
      </c>
      <c r="I9" s="3" t="s">
        <v>58</v>
      </c>
      <c r="J9" s="3" t="s">
        <v>53</v>
      </c>
    </row>
    <row r="10" customFormat="false" ht="35.05" hidden="false" customHeight="false" outlineLevel="0" collapsed="false">
      <c r="A10" s="2" t="n">
        <v>9</v>
      </c>
      <c r="B10" s="3" t="s">
        <v>59</v>
      </c>
      <c r="C10" s="2" t="n">
        <v>2025</v>
      </c>
      <c r="D10" s="3" t="s">
        <v>60</v>
      </c>
      <c r="E10" s="3" t="s">
        <v>61</v>
      </c>
      <c r="F10" s="3" t="s">
        <v>62</v>
      </c>
      <c r="G10" s="4" t="s">
        <v>14</v>
      </c>
      <c r="H10" s="6" t="s">
        <v>23</v>
      </c>
      <c r="I10" s="3" t="s">
        <v>63</v>
      </c>
      <c r="J10" s="3" t="s">
        <v>53</v>
      </c>
    </row>
    <row r="11" customFormat="false" ht="23.85" hidden="false" customHeight="false" outlineLevel="0" collapsed="false">
      <c r="A11" s="2" t="n">
        <v>10</v>
      </c>
      <c r="B11" s="3" t="s">
        <v>64</v>
      </c>
      <c r="C11" s="2" t="n">
        <v>2025</v>
      </c>
      <c r="D11" s="3" t="s">
        <v>65</v>
      </c>
      <c r="E11" s="3" t="s">
        <v>66</v>
      </c>
      <c r="F11" s="3" t="s">
        <v>67</v>
      </c>
      <c r="G11" s="4" t="s">
        <v>14</v>
      </c>
      <c r="H11" s="6" t="s">
        <v>23</v>
      </c>
      <c r="I11" s="3" t="s">
        <v>68</v>
      </c>
      <c r="J11" s="3" t="s">
        <v>53</v>
      </c>
    </row>
    <row r="12" customFormat="false" ht="35.05" hidden="false" customHeight="false" outlineLevel="0" collapsed="false">
      <c r="A12" s="2" t="n">
        <v>11</v>
      </c>
      <c r="B12" s="3" t="s">
        <v>69</v>
      </c>
      <c r="C12" s="2" t="n">
        <v>2025</v>
      </c>
      <c r="D12" s="3" t="s">
        <v>70</v>
      </c>
      <c r="E12" s="3" t="s">
        <v>71</v>
      </c>
      <c r="F12" s="3" t="s">
        <v>72</v>
      </c>
      <c r="G12" s="4" t="s">
        <v>73</v>
      </c>
      <c r="H12" s="6" t="s">
        <v>23</v>
      </c>
      <c r="I12" s="3" t="s">
        <v>74</v>
      </c>
      <c r="J12" s="3" t="s">
        <v>53</v>
      </c>
    </row>
    <row r="13" customFormat="false" ht="23.85" hidden="false" customHeight="false" outlineLevel="0" collapsed="false">
      <c r="A13" s="2" t="n">
        <v>12</v>
      </c>
      <c r="B13" s="3" t="s">
        <v>75</v>
      </c>
      <c r="C13" s="2" t="n">
        <v>2025</v>
      </c>
      <c r="D13" s="3" t="s">
        <v>76</v>
      </c>
      <c r="E13" s="3" t="s">
        <v>77</v>
      </c>
      <c r="F13" s="3" t="s">
        <v>78</v>
      </c>
      <c r="G13" s="4" t="s">
        <v>73</v>
      </c>
      <c r="H13" s="5" t="s">
        <v>15</v>
      </c>
      <c r="I13" s="3" t="s">
        <v>79</v>
      </c>
      <c r="J13" s="3" t="s">
        <v>53</v>
      </c>
    </row>
    <row r="14" customFormat="false" ht="35.05" hidden="false" customHeight="false" outlineLevel="0" collapsed="false">
      <c r="A14" s="2" t="n">
        <v>13</v>
      </c>
      <c r="B14" s="3" t="s">
        <v>80</v>
      </c>
      <c r="C14" s="2" t="n">
        <v>2025</v>
      </c>
      <c r="D14" s="3" t="s">
        <v>81</v>
      </c>
      <c r="E14" s="3" t="s">
        <v>82</v>
      </c>
      <c r="F14" s="3" t="s">
        <v>83</v>
      </c>
      <c r="G14" s="4" t="s">
        <v>14</v>
      </c>
      <c r="H14" s="5" t="s">
        <v>15</v>
      </c>
      <c r="I14" s="3" t="s">
        <v>84</v>
      </c>
      <c r="J14" s="3" t="s">
        <v>53</v>
      </c>
    </row>
    <row r="15" customFormat="false" ht="35.05" hidden="false" customHeight="false" outlineLevel="0" collapsed="false">
      <c r="A15" s="2" t="n">
        <v>14</v>
      </c>
      <c r="B15" s="3" t="s">
        <v>85</v>
      </c>
      <c r="C15" s="2" t="n">
        <v>2025</v>
      </c>
      <c r="D15" s="3" t="s">
        <v>86</v>
      </c>
      <c r="E15" s="3" t="s">
        <v>87</v>
      </c>
      <c r="F15" s="3" t="s">
        <v>88</v>
      </c>
      <c r="G15" s="4" t="s">
        <v>14</v>
      </c>
      <c r="H15" s="6" t="s">
        <v>23</v>
      </c>
      <c r="I15" s="3" t="s">
        <v>89</v>
      </c>
      <c r="J15" s="3" t="s">
        <v>53</v>
      </c>
    </row>
    <row r="16" customFormat="false" ht="23.85" hidden="false" customHeight="false" outlineLevel="0" collapsed="false">
      <c r="A16" s="2" t="n">
        <v>15</v>
      </c>
      <c r="B16" s="3" t="s">
        <v>90</v>
      </c>
      <c r="C16" s="2" t="n">
        <v>2024</v>
      </c>
      <c r="D16" s="3" t="s">
        <v>91</v>
      </c>
      <c r="E16" s="3" t="s">
        <v>92</v>
      </c>
      <c r="F16" s="3" t="s">
        <v>93</v>
      </c>
      <c r="G16" s="4" t="s">
        <v>29</v>
      </c>
      <c r="H16" s="5" t="s">
        <v>15</v>
      </c>
      <c r="I16" s="3" t="s">
        <v>94</v>
      </c>
      <c r="J16" s="3" t="s">
        <v>53</v>
      </c>
    </row>
    <row r="17" customFormat="false" ht="23.85" hidden="false" customHeight="false" outlineLevel="0" collapsed="false">
      <c r="A17" s="2" t="n">
        <v>16</v>
      </c>
      <c r="B17" s="3" t="s">
        <v>95</v>
      </c>
      <c r="C17" s="2" t="n">
        <v>2024</v>
      </c>
      <c r="D17" s="3" t="s">
        <v>96</v>
      </c>
      <c r="E17" s="3" t="s">
        <v>97</v>
      </c>
      <c r="F17" s="3" t="s">
        <v>98</v>
      </c>
      <c r="G17" s="4" t="s">
        <v>29</v>
      </c>
      <c r="H17" s="7" t="s">
        <v>99</v>
      </c>
      <c r="I17" s="3" t="s">
        <v>100</v>
      </c>
      <c r="J17" s="3" t="s">
        <v>53</v>
      </c>
    </row>
    <row r="18" customFormat="false" ht="23.85" hidden="false" customHeight="false" outlineLevel="0" collapsed="false">
      <c r="A18" s="2" t="n">
        <v>17</v>
      </c>
      <c r="B18" s="3" t="s">
        <v>101</v>
      </c>
      <c r="C18" s="2" t="n">
        <v>2024</v>
      </c>
      <c r="D18" s="3" t="s">
        <v>102</v>
      </c>
      <c r="E18" s="3" t="s">
        <v>103</v>
      </c>
      <c r="F18" s="3" t="s">
        <v>104</v>
      </c>
      <c r="G18" s="4" t="s">
        <v>105</v>
      </c>
      <c r="H18" s="7" t="s">
        <v>99</v>
      </c>
      <c r="I18" s="3" t="s">
        <v>106</v>
      </c>
      <c r="J18" s="3" t="s">
        <v>53</v>
      </c>
    </row>
    <row r="19" customFormat="false" ht="35.05" hidden="false" customHeight="false" outlineLevel="0" collapsed="false">
      <c r="A19" s="2" t="n">
        <v>18</v>
      </c>
      <c r="B19" s="3" t="s">
        <v>107</v>
      </c>
      <c r="C19" s="2" t="n">
        <v>2018</v>
      </c>
      <c r="D19" s="3" t="s">
        <v>108</v>
      </c>
      <c r="E19" s="3" t="s">
        <v>109</v>
      </c>
      <c r="F19" s="3" t="s">
        <v>110</v>
      </c>
      <c r="G19" s="4" t="s">
        <v>14</v>
      </c>
      <c r="H19" s="5" t="s">
        <v>15</v>
      </c>
      <c r="I19" s="3" t="s">
        <v>111</v>
      </c>
      <c r="J19" s="3" t="s">
        <v>112</v>
      </c>
    </row>
    <row r="20" customFormat="false" ht="35.05" hidden="false" customHeight="false" outlineLevel="0" collapsed="false">
      <c r="A20" s="2" t="n">
        <v>19</v>
      </c>
      <c r="B20" s="3" t="s">
        <v>113</v>
      </c>
      <c r="C20" s="2" t="n">
        <v>2023</v>
      </c>
      <c r="D20" s="3" t="s">
        <v>114</v>
      </c>
      <c r="E20" s="3" t="s">
        <v>115</v>
      </c>
      <c r="F20" s="3" t="s">
        <v>116</v>
      </c>
      <c r="G20" s="4" t="s">
        <v>14</v>
      </c>
      <c r="H20" s="6" t="s">
        <v>23</v>
      </c>
      <c r="I20" s="3" t="s">
        <v>117</v>
      </c>
      <c r="J20" s="3" t="s">
        <v>112</v>
      </c>
    </row>
    <row r="21" customFormat="false" ht="35.05" hidden="false" customHeight="false" outlineLevel="0" collapsed="false">
      <c r="A21" s="2" t="n">
        <v>20</v>
      </c>
      <c r="B21" s="3" t="s">
        <v>118</v>
      </c>
      <c r="C21" s="2" t="n">
        <v>2025</v>
      </c>
      <c r="D21" s="3" t="s">
        <v>119</v>
      </c>
      <c r="E21" s="3" t="s">
        <v>120</v>
      </c>
      <c r="F21" s="3" t="s">
        <v>121</v>
      </c>
      <c r="G21" s="4" t="s">
        <v>14</v>
      </c>
      <c r="H21" s="6" t="s">
        <v>23</v>
      </c>
      <c r="I21" s="3" t="s">
        <v>122</v>
      </c>
      <c r="J21" s="3" t="s">
        <v>112</v>
      </c>
    </row>
    <row r="22" customFormat="false" ht="35.05" hidden="false" customHeight="false" outlineLevel="0" collapsed="false">
      <c r="A22" s="2" t="n">
        <v>21</v>
      </c>
      <c r="B22" s="3" t="s">
        <v>123</v>
      </c>
      <c r="C22" s="2" t="n">
        <v>2023</v>
      </c>
      <c r="D22" s="3" t="s">
        <v>124</v>
      </c>
      <c r="E22" s="3" t="s">
        <v>125</v>
      </c>
      <c r="F22" s="3" t="s">
        <v>126</v>
      </c>
      <c r="G22" s="4" t="s">
        <v>14</v>
      </c>
      <c r="H22" s="6" t="s">
        <v>23</v>
      </c>
      <c r="I22" s="3" t="s">
        <v>127</v>
      </c>
      <c r="J22" s="3" t="s">
        <v>112</v>
      </c>
    </row>
    <row r="23" customFormat="false" ht="35.05" hidden="false" customHeight="false" outlineLevel="0" collapsed="false">
      <c r="A23" s="2" t="n">
        <v>22</v>
      </c>
      <c r="B23" s="3" t="s">
        <v>128</v>
      </c>
      <c r="C23" s="2" t="n">
        <v>2024</v>
      </c>
      <c r="D23" s="3" t="s">
        <v>129</v>
      </c>
      <c r="E23" s="3" t="s">
        <v>130</v>
      </c>
      <c r="F23" s="3" t="s">
        <v>131</v>
      </c>
      <c r="G23" s="4" t="s">
        <v>29</v>
      </c>
      <c r="H23" s="6" t="s">
        <v>23</v>
      </c>
      <c r="I23" s="3" t="s">
        <v>132</v>
      </c>
      <c r="J23" s="3" t="s">
        <v>112</v>
      </c>
    </row>
    <row r="24" customFormat="false" ht="35.05" hidden="false" customHeight="false" outlineLevel="0" collapsed="false">
      <c r="A24" s="2" t="n">
        <v>23</v>
      </c>
      <c r="B24" s="3" t="s">
        <v>133</v>
      </c>
      <c r="C24" s="2" t="n">
        <v>2020</v>
      </c>
      <c r="D24" s="3" t="s">
        <v>134</v>
      </c>
      <c r="E24" s="3" t="s">
        <v>135</v>
      </c>
      <c r="F24" s="3" t="s">
        <v>136</v>
      </c>
      <c r="G24" s="4" t="s">
        <v>14</v>
      </c>
      <c r="H24" s="6" t="s">
        <v>23</v>
      </c>
      <c r="I24" s="3" t="s">
        <v>137</v>
      </c>
      <c r="J24" s="3" t="s">
        <v>112</v>
      </c>
    </row>
    <row r="25" customFormat="false" ht="35.05" hidden="false" customHeight="false" outlineLevel="0" collapsed="false">
      <c r="A25" s="2" t="n">
        <v>24</v>
      </c>
      <c r="B25" s="3" t="s">
        <v>138</v>
      </c>
      <c r="C25" s="2" t="n">
        <v>2020</v>
      </c>
      <c r="D25" s="3" t="s">
        <v>139</v>
      </c>
      <c r="E25" s="3" t="s">
        <v>140</v>
      </c>
      <c r="F25" s="3" t="s">
        <v>141</v>
      </c>
      <c r="G25" s="4" t="s">
        <v>14</v>
      </c>
      <c r="H25" s="5" t="s">
        <v>15</v>
      </c>
      <c r="I25" s="3" t="s">
        <v>142</v>
      </c>
      <c r="J25" s="3" t="s">
        <v>112</v>
      </c>
    </row>
    <row r="26" customFormat="false" ht="23.85" hidden="false" customHeight="false" outlineLevel="0" collapsed="false">
      <c r="A26" s="2" t="n">
        <v>25</v>
      </c>
      <c r="B26" s="3" t="s">
        <v>143</v>
      </c>
      <c r="C26" s="2" t="n">
        <v>2026</v>
      </c>
      <c r="D26" s="3" t="s">
        <v>144</v>
      </c>
      <c r="E26" s="3" t="s">
        <v>145</v>
      </c>
      <c r="F26" s="3" t="s">
        <v>146</v>
      </c>
      <c r="G26" s="4" t="s">
        <v>46</v>
      </c>
      <c r="H26" s="5" t="s">
        <v>15</v>
      </c>
      <c r="I26" s="3" t="s">
        <v>147</v>
      </c>
      <c r="J26" s="3" t="s">
        <v>112</v>
      </c>
    </row>
    <row r="27" customFormat="false" ht="35.05" hidden="false" customHeight="false" outlineLevel="0" collapsed="false">
      <c r="A27" s="2" t="n">
        <v>26</v>
      </c>
      <c r="B27" s="3" t="s">
        <v>148</v>
      </c>
      <c r="C27" s="2" t="n">
        <v>2023</v>
      </c>
      <c r="D27" s="3" t="s">
        <v>149</v>
      </c>
      <c r="E27" s="3" t="s">
        <v>150</v>
      </c>
      <c r="F27" s="3" t="s">
        <v>151</v>
      </c>
      <c r="G27" s="4" t="s">
        <v>14</v>
      </c>
      <c r="H27" s="6" t="s">
        <v>23</v>
      </c>
      <c r="I27" s="3" t="s">
        <v>152</v>
      </c>
      <c r="J27" s="3" t="s">
        <v>153</v>
      </c>
    </row>
    <row r="28" customFormat="false" ht="35.05" hidden="false" customHeight="false" outlineLevel="0" collapsed="false">
      <c r="A28" s="2" t="n">
        <v>27</v>
      </c>
      <c r="B28" s="3" t="s">
        <v>154</v>
      </c>
      <c r="C28" s="2" t="n">
        <v>2024</v>
      </c>
      <c r="D28" s="3" t="s">
        <v>155</v>
      </c>
      <c r="E28" s="3" t="s">
        <v>156</v>
      </c>
      <c r="F28" s="3" t="s">
        <v>157</v>
      </c>
      <c r="G28" s="4" t="s">
        <v>14</v>
      </c>
      <c r="H28" s="6" t="s">
        <v>23</v>
      </c>
      <c r="I28" s="3" t="s">
        <v>158</v>
      </c>
      <c r="J28" s="3" t="s">
        <v>153</v>
      </c>
    </row>
    <row r="29" customFormat="false" ht="23.85" hidden="false" customHeight="false" outlineLevel="0" collapsed="false">
      <c r="A29" s="2" t="n">
        <v>28</v>
      </c>
      <c r="B29" s="3" t="s">
        <v>159</v>
      </c>
      <c r="C29" s="2" t="n">
        <v>2025</v>
      </c>
      <c r="D29" s="3" t="s">
        <v>160</v>
      </c>
      <c r="E29" s="3" t="s">
        <v>161</v>
      </c>
      <c r="F29" s="3" t="s">
        <v>162</v>
      </c>
      <c r="G29" s="4" t="s">
        <v>29</v>
      </c>
      <c r="H29" s="6" t="s">
        <v>23</v>
      </c>
      <c r="I29" s="3" t="s">
        <v>163</v>
      </c>
      <c r="J29" s="3" t="s">
        <v>153</v>
      </c>
    </row>
    <row r="30" customFormat="false" ht="35.05" hidden="false" customHeight="false" outlineLevel="0" collapsed="false">
      <c r="A30" s="2" t="n">
        <v>29</v>
      </c>
      <c r="B30" s="3" t="s">
        <v>164</v>
      </c>
      <c r="C30" s="2" t="n">
        <v>2024</v>
      </c>
      <c r="D30" s="3" t="s">
        <v>165</v>
      </c>
      <c r="E30" s="3" t="s">
        <v>166</v>
      </c>
      <c r="F30" s="3" t="s">
        <v>167</v>
      </c>
      <c r="G30" s="4" t="s">
        <v>14</v>
      </c>
      <c r="H30" s="6" t="s">
        <v>23</v>
      </c>
      <c r="I30" s="3" t="s">
        <v>168</v>
      </c>
      <c r="J30" s="3" t="s">
        <v>153</v>
      </c>
    </row>
    <row r="31" customFormat="false" ht="35.05" hidden="false" customHeight="false" outlineLevel="0" collapsed="false">
      <c r="A31" s="2" t="n">
        <v>30</v>
      </c>
      <c r="B31" s="3" t="s">
        <v>169</v>
      </c>
      <c r="C31" s="2" t="n">
        <v>2015</v>
      </c>
      <c r="D31" s="3" t="s">
        <v>170</v>
      </c>
      <c r="E31" s="3" t="s">
        <v>171</v>
      </c>
      <c r="F31" s="3" t="s">
        <v>172</v>
      </c>
      <c r="G31" s="4" t="s">
        <v>29</v>
      </c>
      <c r="H31" s="6" t="s">
        <v>23</v>
      </c>
      <c r="I31" s="3" t="s">
        <v>173</v>
      </c>
      <c r="J31" s="3" t="s">
        <v>153</v>
      </c>
    </row>
    <row r="32" customFormat="false" ht="35.05" hidden="false" customHeight="false" outlineLevel="0" collapsed="false">
      <c r="A32" s="2" t="n">
        <v>31</v>
      </c>
      <c r="B32" s="3" t="s">
        <v>174</v>
      </c>
      <c r="C32" s="2" t="n">
        <v>2019</v>
      </c>
      <c r="D32" s="3" t="s">
        <v>175</v>
      </c>
      <c r="E32" s="3" t="s">
        <v>176</v>
      </c>
      <c r="F32" s="3" t="s">
        <v>177</v>
      </c>
      <c r="G32" s="4" t="s">
        <v>14</v>
      </c>
      <c r="H32" s="6" t="s">
        <v>23</v>
      </c>
      <c r="I32" s="3" t="s">
        <v>178</v>
      </c>
      <c r="J32" s="3" t="s">
        <v>179</v>
      </c>
    </row>
    <row r="33" customFormat="false" ht="23.85" hidden="false" customHeight="false" outlineLevel="0" collapsed="false">
      <c r="A33" s="2" t="n">
        <v>32</v>
      </c>
      <c r="B33" s="3" t="s">
        <v>180</v>
      </c>
      <c r="C33" s="2" t="n">
        <v>2023</v>
      </c>
      <c r="D33" s="3" t="s">
        <v>181</v>
      </c>
      <c r="E33" s="3" t="s">
        <v>182</v>
      </c>
      <c r="F33" s="3" t="s">
        <v>183</v>
      </c>
      <c r="G33" s="4" t="s">
        <v>14</v>
      </c>
      <c r="H33" s="6" t="s">
        <v>23</v>
      </c>
      <c r="I33" s="3" t="s">
        <v>184</v>
      </c>
      <c r="J33" s="3" t="s">
        <v>179</v>
      </c>
    </row>
    <row r="34" customFormat="false" ht="23.85" hidden="false" customHeight="false" outlineLevel="0" collapsed="false">
      <c r="A34" s="2" t="n">
        <v>33</v>
      </c>
      <c r="B34" s="3" t="s">
        <v>185</v>
      </c>
      <c r="C34" s="2" t="n">
        <v>2024</v>
      </c>
      <c r="D34" s="3" t="s">
        <v>186</v>
      </c>
      <c r="E34" s="3" t="s">
        <v>187</v>
      </c>
      <c r="F34" s="3" t="s">
        <v>188</v>
      </c>
      <c r="G34" s="4" t="s">
        <v>14</v>
      </c>
      <c r="H34" s="5" t="s">
        <v>15</v>
      </c>
      <c r="I34" s="3" t="s">
        <v>189</v>
      </c>
      <c r="J34" s="3" t="s">
        <v>179</v>
      </c>
    </row>
    <row r="35" customFormat="false" ht="23.85" hidden="false" customHeight="false" outlineLevel="0" collapsed="false">
      <c r="A35" s="2" t="n">
        <v>34</v>
      </c>
      <c r="B35" s="3" t="s">
        <v>190</v>
      </c>
      <c r="C35" s="2" t="n">
        <v>2025</v>
      </c>
      <c r="D35" s="3" t="s">
        <v>191</v>
      </c>
      <c r="E35" s="3" t="s">
        <v>192</v>
      </c>
      <c r="F35" s="3" t="s">
        <v>193</v>
      </c>
      <c r="G35" s="4" t="s">
        <v>14</v>
      </c>
      <c r="H35" s="5" t="s">
        <v>15</v>
      </c>
      <c r="I35" s="3" t="s">
        <v>194</v>
      </c>
      <c r="J35" s="3" t="s">
        <v>179</v>
      </c>
    </row>
    <row r="36" customFormat="false" ht="23.85" hidden="false" customHeight="false" outlineLevel="0" collapsed="false">
      <c r="A36" s="2" t="n">
        <v>35</v>
      </c>
      <c r="B36" s="3" t="s">
        <v>195</v>
      </c>
      <c r="C36" s="2" t="n">
        <v>2025</v>
      </c>
      <c r="D36" s="3" t="s">
        <v>196</v>
      </c>
      <c r="E36" s="3" t="s">
        <v>197</v>
      </c>
      <c r="F36" s="3" t="s">
        <v>198</v>
      </c>
      <c r="G36" s="4" t="s">
        <v>14</v>
      </c>
      <c r="H36" s="5" t="s">
        <v>15</v>
      </c>
      <c r="I36" s="3" t="s">
        <v>199</v>
      </c>
      <c r="J36" s="3" t="s">
        <v>179</v>
      </c>
    </row>
    <row r="37" customFormat="false" ht="35.05" hidden="false" customHeight="false" outlineLevel="0" collapsed="false">
      <c r="A37" s="2" t="n">
        <v>36</v>
      </c>
      <c r="B37" s="3" t="s">
        <v>200</v>
      </c>
      <c r="C37" s="2" t="n">
        <v>2025</v>
      </c>
      <c r="D37" s="3" t="s">
        <v>201</v>
      </c>
      <c r="E37" s="3" t="s">
        <v>202</v>
      </c>
      <c r="F37" s="3" t="s">
        <v>203</v>
      </c>
      <c r="G37" s="4" t="s">
        <v>14</v>
      </c>
      <c r="H37" s="7" t="s">
        <v>99</v>
      </c>
      <c r="I37" s="3" t="s">
        <v>204</v>
      </c>
      <c r="J37" s="3" t="s">
        <v>179</v>
      </c>
    </row>
    <row r="38" customFormat="false" ht="23.85" hidden="false" customHeight="false" outlineLevel="0" collapsed="false">
      <c r="A38" s="2" t="n">
        <v>37</v>
      </c>
      <c r="B38" s="3" t="s">
        <v>205</v>
      </c>
      <c r="C38" s="2" t="n">
        <v>2004</v>
      </c>
      <c r="D38" s="3" t="s">
        <v>206</v>
      </c>
      <c r="E38" s="3" t="s">
        <v>207</v>
      </c>
      <c r="F38" s="3" t="s">
        <v>208</v>
      </c>
      <c r="G38" s="4" t="s">
        <v>29</v>
      </c>
      <c r="H38" s="6" t="s">
        <v>23</v>
      </c>
      <c r="I38" s="3" t="s">
        <v>209</v>
      </c>
      <c r="J38" s="3" t="s">
        <v>210</v>
      </c>
    </row>
    <row r="39" customFormat="false" ht="23.85" hidden="false" customHeight="false" outlineLevel="0" collapsed="false">
      <c r="A39" s="2" t="n">
        <v>38</v>
      </c>
      <c r="B39" s="3" t="s">
        <v>211</v>
      </c>
      <c r="C39" s="2" t="n">
        <v>2007</v>
      </c>
      <c r="D39" s="3" t="s">
        <v>212</v>
      </c>
      <c r="E39" s="3" t="s">
        <v>213</v>
      </c>
      <c r="F39" s="3" t="s">
        <v>214</v>
      </c>
      <c r="G39" s="4" t="s">
        <v>29</v>
      </c>
      <c r="H39" s="6" t="s">
        <v>23</v>
      </c>
      <c r="I39" s="3" t="s">
        <v>215</v>
      </c>
      <c r="J39" s="3" t="s">
        <v>210</v>
      </c>
    </row>
    <row r="40" customFormat="false" ht="35.05" hidden="false" customHeight="false" outlineLevel="0" collapsed="false">
      <c r="A40" s="2" t="n">
        <v>39</v>
      </c>
      <c r="B40" s="3" t="s">
        <v>216</v>
      </c>
      <c r="C40" s="2" t="n">
        <v>2023</v>
      </c>
      <c r="D40" s="3" t="s">
        <v>217</v>
      </c>
      <c r="E40" s="3" t="s">
        <v>218</v>
      </c>
      <c r="F40" s="3" t="s">
        <v>219</v>
      </c>
      <c r="G40" s="4" t="s">
        <v>14</v>
      </c>
      <c r="H40" s="6" t="s">
        <v>23</v>
      </c>
      <c r="I40" s="3" t="s">
        <v>220</v>
      </c>
      <c r="J40" s="3" t="s">
        <v>53</v>
      </c>
    </row>
    <row r="41" customFormat="false" ht="46.25" hidden="false" customHeight="false" outlineLevel="0" collapsed="false">
      <c r="A41" s="2" t="n">
        <v>40</v>
      </c>
      <c r="B41" s="3" t="s">
        <v>221</v>
      </c>
      <c r="C41" s="2" t="n">
        <v>2024</v>
      </c>
      <c r="D41" s="3" t="s">
        <v>222</v>
      </c>
      <c r="E41" s="3" t="s">
        <v>223</v>
      </c>
      <c r="F41" s="3" t="s">
        <v>224</v>
      </c>
      <c r="G41" s="4" t="s">
        <v>14</v>
      </c>
      <c r="H41" s="6" t="s">
        <v>23</v>
      </c>
      <c r="I41" s="3" t="s">
        <v>225</v>
      </c>
      <c r="J41" s="3" t="s">
        <v>112</v>
      </c>
    </row>
  </sheetData>
  <autoFilter ref="A1:J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8" t="s">
        <v>226</v>
      </c>
    </row>
    <row r="3" customFormat="false" ht="15" hidden="false" customHeight="false" outlineLevel="0" collapsed="false">
      <c r="A3" s="9" t="s">
        <v>227</v>
      </c>
      <c r="B3" s="10" t="s">
        <v>228</v>
      </c>
      <c r="C3" s="10" t="s">
        <v>229</v>
      </c>
      <c r="D3" s="10"/>
    </row>
    <row r="4" customFormat="false" ht="15" hidden="false" customHeight="false" outlineLevel="0" collapsed="false">
      <c r="A4" s="11" t="s">
        <v>230</v>
      </c>
      <c r="B4" s="12" t="n">
        <v>15</v>
      </c>
      <c r="C4" s="12" t="n">
        <f aca="false">COUNTA(Referencias!B2:B41)</f>
        <v>40</v>
      </c>
      <c r="D4" s="12" t="str">
        <f aca="false">IF(C4&gt;=B4,"OK","Rever")</f>
        <v>OK</v>
      </c>
    </row>
    <row r="5" customFormat="false" ht="15" hidden="false" customHeight="false" outlineLevel="0" collapsed="false">
      <c r="A5" s="11" t="s">
        <v>231</v>
      </c>
      <c r="B5" s="12" t="n">
        <v>8</v>
      </c>
      <c r="C5" s="12" t="n">
        <f aca="false">COUNTIF(Referencias!C2:C41,"&gt;=2021")</f>
        <v>31</v>
      </c>
      <c r="D5" s="12" t="str">
        <f aca="false">IF(C5&gt;=B5,"OK","Rever")</f>
        <v>OK</v>
      </c>
    </row>
    <row r="6" customFormat="false" ht="15" hidden="false" customHeight="false" outlineLevel="0" collapsed="false">
      <c r="A6" s="11" t="s">
        <v>232</v>
      </c>
      <c r="B6" s="12" t="n">
        <v>0</v>
      </c>
      <c r="C6" s="12" t="n">
        <f aca="false">COUNTIF(Referencias!H2:H41,"Alta")</f>
        <v>24</v>
      </c>
      <c r="D6" s="12" t="str">
        <f aca="false">IF(C6&gt;=B6,"OK","Rever")</f>
        <v>OK</v>
      </c>
    </row>
    <row r="7" customFormat="false" ht="15" hidden="false" customHeight="false" outlineLevel="0" collapsed="false">
      <c r="A7" s="11" t="s">
        <v>233</v>
      </c>
      <c r="B7" s="12" t="n">
        <v>0</v>
      </c>
      <c r="C7" s="12" t="n">
        <f aca="false">COUNTIF(Referencias!H2:H41,"Media")</f>
        <v>13</v>
      </c>
      <c r="D7" s="12" t="str">
        <f aca="false">IF(C7&gt;=B7,"OK","Rever")</f>
        <v>OK</v>
      </c>
    </row>
    <row r="8" customFormat="false" ht="15" hidden="false" customHeight="false" outlineLevel="0" collapsed="false">
      <c r="A8" s="11" t="s">
        <v>234</v>
      </c>
      <c r="B8" s="12" t="n">
        <v>0</v>
      </c>
      <c r="C8" s="12" t="n">
        <f aca="false">COUNTIF(Referencias!H2:H41,"Baixa")</f>
        <v>3</v>
      </c>
      <c r="D8" s="12" t="str">
        <f aca="false">IF(C8&gt;=B8,"OK","Rever")</f>
        <v>OK</v>
      </c>
    </row>
    <row r="9" customFormat="false" ht="15" hidden="false" customHeight="false" outlineLevel="0" collapsed="false">
      <c r="A9" s="11" t="s">
        <v>235</v>
      </c>
      <c r="B9" s="12" t="n">
        <v>0</v>
      </c>
      <c r="C9" s="12" t="n">
        <f aca="false">COUNTIF(Referencias!G2:G41,"Artigo*")</f>
        <v>36</v>
      </c>
      <c r="D9" s="12" t="str">
        <f aca="false">IF(C9&gt;=B9,"OK","Rever")</f>
        <v>OK</v>
      </c>
    </row>
    <row r="10" customFormat="false" ht="15" hidden="false" customHeight="false" outlineLevel="0" collapsed="false">
      <c r="A10" s="11" t="s">
        <v>236</v>
      </c>
      <c r="B10" s="12" t="n">
        <v>1</v>
      </c>
      <c r="C10" s="12" t="n">
        <f aca="false">COUNTIF(Referencias!G2:G41,"Livro*")</f>
        <v>1</v>
      </c>
      <c r="D10" s="12" t="str">
        <f aca="false">IF(C10&gt;=B10,"OK","Rever")</f>
        <v>OK</v>
      </c>
    </row>
    <row r="11" customFormat="false" ht="15" hidden="false" customHeight="false" outlineLevel="0" collapsed="false">
      <c r="A11" s="11" t="s">
        <v>237</v>
      </c>
      <c r="B11" s="12" t="n">
        <v>1</v>
      </c>
      <c r="C11" s="12" t="n">
        <f aca="false">COUNTIF(Referencias!G2:G41,"Norma*")</f>
        <v>1</v>
      </c>
      <c r="D11" s="12" t="str">
        <f aca="false">IF(C11&gt;=B11,"OK","Rever")</f>
        <v>OK</v>
      </c>
    </row>
    <row r="12" customFormat="false" ht="15" hidden="false" customHeight="false" outlineLevel="0" collapsed="false">
      <c r="A12" s="11" t="s">
        <v>238</v>
      </c>
      <c r="B12" s="12" t="n">
        <v>1</v>
      </c>
      <c r="C12" s="12" t="n">
        <f aca="false">COUNTIF(Referencias!G2:G41,"Documenta*")</f>
        <v>2</v>
      </c>
      <c r="D12" s="12" t="str">
        <f aca="false">IF(C12&gt;=B12,"OK","Rever")</f>
        <v>OK</v>
      </c>
    </row>
    <row r="14" customFormat="false" ht="15" hidden="false" customHeight="false" outlineLevel="0" collapsed="false">
      <c r="A14" s="13" t="s">
        <v>239</v>
      </c>
    </row>
    <row r="15" customFormat="false" ht="15" hidden="false" customHeight="false" outlineLevel="0" collapsed="false">
      <c r="A15" s="14" t="s">
        <v>17</v>
      </c>
      <c r="B15" s="15" t="n">
        <f aca="false">COUNTIF(Referencias!J2:J41,"A - BDD e especificação de comportamento")</f>
        <v>6</v>
      </c>
    </row>
    <row r="16" customFormat="false" ht="15" hidden="false" customHeight="false" outlineLevel="0" collapsed="false">
      <c r="A16" s="14" t="s">
        <v>53</v>
      </c>
      <c r="B16" s="15" t="n">
        <f aca="false">COUNTIF(Referencias!J2:J41,"B - LLM na geração de artefatos de teste")</f>
        <v>12</v>
      </c>
    </row>
    <row r="17" customFormat="false" ht="15" hidden="false" customHeight="false" outlineLevel="0" collapsed="false">
      <c r="A17" s="14" t="s">
        <v>112</v>
      </c>
      <c r="B17" s="15" t="n">
        <f aca="false">COUNTIF(Referencias!J2:J41,"C - Text-to-SQL e verificação por execução")</f>
        <v>9</v>
      </c>
    </row>
    <row r="18" customFormat="false" ht="15" hidden="false" customHeight="false" outlineLevel="0" collapsed="false">
      <c r="A18" s="14" t="s">
        <v>153</v>
      </c>
      <c r="B18" s="15" t="n">
        <f aca="false">COUNTIF(Referencias!J2:J41,"D - Confiabilidade, alucinação e consenso")</f>
        <v>5</v>
      </c>
    </row>
    <row r="19" customFormat="false" ht="15" hidden="false" customHeight="false" outlineLevel="0" collapsed="false">
      <c r="A19" s="14" t="s">
        <v>179</v>
      </c>
      <c r="B19" s="15" t="n">
        <f aca="false">COUNTIF(Referencias!J2:J41,"E - Qualidade de teste em linguagem natural")</f>
        <v>6</v>
      </c>
    </row>
    <row r="20" customFormat="false" ht="15" hidden="false" customHeight="false" outlineLevel="0" collapsed="false">
      <c r="A20" s="14" t="s">
        <v>210</v>
      </c>
      <c r="B20" s="15" t="n">
        <f aca="false">COUNTIF(Referencias!J2:J41,"F - Metodologia de pesquisa")</f>
        <v>2</v>
      </c>
    </row>
    <row r="22" customFormat="false" ht="15" hidden="false" customHeight="false" outlineLevel="0" collapsed="false">
      <c r="A22" s="13" t="s">
        <v>240</v>
      </c>
    </row>
    <row r="23" customFormat="false" ht="30" hidden="false" customHeight="true" outlineLevel="0" collapsed="false">
      <c r="A23" s="16" t="s">
        <v>241</v>
      </c>
      <c r="B23" s="16"/>
      <c r="C23" s="16"/>
      <c r="D23" s="16"/>
    </row>
    <row r="24" customFormat="false" ht="30" hidden="false" customHeight="true" outlineLevel="0" collapsed="false">
      <c r="A24" s="16" t="s">
        <v>242</v>
      </c>
      <c r="B24" s="16"/>
      <c r="C24" s="16"/>
      <c r="D24" s="16"/>
    </row>
    <row r="25" customFormat="false" ht="30" hidden="false" customHeight="true" outlineLevel="0" collapsed="false">
      <c r="A25" s="16" t="s">
        <v>243</v>
      </c>
      <c r="B25" s="16"/>
      <c r="C25" s="16"/>
      <c r="D25" s="16"/>
    </row>
    <row r="26" customFormat="false" ht="30" hidden="false" customHeight="true" outlineLevel="0" collapsed="false">
      <c r="A26" s="16" t="s">
        <v>244</v>
      </c>
      <c r="B26" s="16"/>
      <c r="C26" s="16"/>
      <c r="D26" s="16"/>
    </row>
  </sheetData>
  <mergeCells count="4"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2026-09-10T00:08:17Z</dcterms:created>
  <dc:creator>Eduardo Krause</dc:creator>
  <dc:description/>
  <dc:language>en-US</dc:language>
  <cp:lastModifiedBy>Eduardo Krause</cp:lastModifiedBy>
  <dcterms:modified xsi:type="dcterms:W3CDTF">2026-09-10T00:08:17Z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